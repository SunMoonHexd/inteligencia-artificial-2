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ceptr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<sst xmlns="http://schemas.openxmlformats.org/spreadsheetml/2006/main" count="41" uniqueCount="37">
  <si>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Perceptrón simple — Aprendizaje de la compuerta lógica AND</t>
  </si>
  <si>
    <t xml:space="preserve">Regla de aprendizaje del perceptrón: W_nuevo = W_viejo + tasa_aprendizaje × error × entrada. Función de activación: escalón (step).</t>
  </si>
  <si>
    <t xml:space="preserve">Leyenda:</t>
  </si>
  <si>
    <t xml:space="preserve">Celdas azules = valores editables (entradas del usuario)</t>
  </si>
  <si>
    <t xml:space="preserve">Celdas negras = fórmulas (no editar)</t>
  </si>
  <si>
    <t xml:space="preserve">Parámetros iniciales</t>
  </si>
  <si>
    <t xml:space="preserve">Tasa de aprendizaje (η):</t>
  </si>
  <si>
    <t xml:space="preserve">Peso inicial W1:</t>
  </si>
  <si>
    <t xml:space="preserve">Peso inicial W2:</t>
  </si>
  <si>
    <t xml:space="preserve">Peso inicial Bias (W0):</t>
  </si>
  <si>
    <t xml:space="preserve">Época</t>
  </si>
  <si>
    <t xml:space="preserve">Muestra</t>
  </si>
  <si>
    <t xml:space="preserve">X1</t>
  </si>
  <si>
    <t xml:space="preserve">X2</t>
  </si>
  <si>
    <t xml:space="preserve">Bias</t>
  </si>
  <si>
    <t xml:space="preserve">W1</t>
  </si>
  <si>
    <t xml:space="preserve">W2</t>
  </si>
  <si>
    <t xml:space="preserve">W3 (bias)</t>
  </si>
  <si>
    <t xml:space="preserve">Neta (Σ)</t>
  </si>
  <si>
    <t xml:space="preserve">Salida</t>
  </si>
  <si>
    <t xml:space="preserve">Objetivo (Y)</t>
  </si>
  <si>
    <t xml:space="preserve">Error</t>
  </si>
  <si>
    <t xml:space="preserve">ΔW1</t>
  </si>
  <si>
    <t xml:space="preserve">ΔW2</t>
  </si>
  <si>
    <t xml:space="preserve">ΔW3</t>
  </si>
  <si>
    <t xml:space="preserve">Pesos finales (tras entrenamiento):</t>
  </si>
  <si>
    <t xml:space="preserve">W1 =</t>
  </si>
  <si>
    <t xml:space="preserve">W2 =</t>
  </si>
  <si>
    <t xml:space="preserve">W3 (bias) =</t>
  </si>
  <si>
    <t xml:space="preserve">Prueba del perceptrón entrenado</t>
  </si>
  <si>
    <t xml:space="preserve">Neta</t>
  </si>
  <si>
    <t xml:space="preserve">Esperado (AND)</t>
  </si>
  <si>
    <t xml:space="preserve">¿Correcto?</t>
  </si>
  <si>
    <t xml:space="preserve">Notas:</t>
  </si>
  <si>
    <t xml:space="preserve">• La compuerta AND es linealmente separable, por lo que el perceptrón converge en pocas épocas con η=0.1.</t>
  </si>
  <si>
    <t xml:space="preserve">• Cambie los pesos iniciales (E8:I8) o la tasa de aprendizaje (B8) y observe cómo cambia la tabla de entrenamiento.</t>
  </si>
  <si>
    <t xml:space="preserve">• Para entrenar otra compuerta (OR, NAND), cambie la columna 'Objetivo (Y)' (K11:K26) según la tabla de verdad deseada.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</si>
</sst>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5" min="3" style="0" width="7"/>
    <col collapsed="false" customWidth="true" hidden="false" outlineLevel="0" max="7" min="6" style="0" width="8"/>
    <col collapsed="false" customWidth="true" hidden="false" outlineLevel="0" max="9" min="8" style="0" width="9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5" min="12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6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  <c r="B8" s="7" t="n">
        <v>0.1</v>
      </c>
      <c r="D8" s="3" t="s">
        <v>7</v>
      </c>
      <c r="E8" s="7" t="n">
        <v>0</v>
      </c>
      <c r="F8" s="3" t="s">
        <v>8</v>
      </c>
      <c r="G8" s="7" t="n">
        <v>0</v>
      </c>
      <c r="H8" s="3" t="s">
        <v>9</v>
      </c>
      <c r="I8" s="7" t="n">
        <v>0</v>
      </c>
    </row>
    <row r="10" customFormat="false" ht="15" hidden="false" customHeight="false" outlineLevel="0" collapsed="false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  <c r="L10" s="8" t="s">
        <v>21</v>
      </c>
      <c r="M10" s="8" t="s">
        <v>22</v>
      </c>
      <c r="N10" s="8" t="s">
        <v>23</v>
      </c>
      <c r="O10" s="8" t="s">
        <v>24</v>
      </c>
    </row>
    <row r="11" customFormat="false" ht="15" hidden="false" customHeight="false" outlineLevel="0" collapsed="false">
      <c r="A11" s="9" t="n">
        <f aca="false">INT((ROW()-11)/4)+1</f>
        <v>1</v>
      </c>
      <c r="B11" s="9" t="n">
        <f aca="false">MOD(ROW()-11,4)+1</f>
        <v>1</v>
      </c>
      <c r="C11" s="10" t="n">
        <v>0</v>
      </c>
      <c r="D11" s="10" t="n">
        <v>0</v>
      </c>
      <c r="E11" s="9" t="n">
        <v>1</v>
      </c>
      <c r="F11" s="11" t="n">
        <f aca="false">$E$8</f>
        <v>0</v>
      </c>
      <c r="G11" s="11" t="n">
        <f aca="false">$G$8</f>
        <v>0</v>
      </c>
      <c r="H11" s="11" t="n">
        <f aca="false">$I$8</f>
        <v>0</v>
      </c>
      <c r="I11" s="11" t="n">
        <f aca="false">C11*F11+D11*G11+E11*H11</f>
        <v>0</v>
      </c>
      <c r="J11" s="9" t="n">
        <f aca="false">IF(I11&gt;=0,1,0)</f>
        <v>1</v>
      </c>
      <c r="K11" s="10" t="n">
        <v>0</v>
      </c>
      <c r="L11" s="9" t="n">
        <f aca="false">K11-J11</f>
        <v>-1</v>
      </c>
      <c r="M11" s="11" t="n">
        <f aca="false">$B$8*L11*C11</f>
        <v>-0</v>
      </c>
      <c r="N11" s="11" t="n">
        <f aca="false">$B$8*L11*D11</f>
        <v>-0</v>
      </c>
      <c r="O11" s="11" t="n">
        <f aca="false">$B$8*L11*E11</f>
        <v>-0.1</v>
      </c>
    </row>
    <row r="12" customFormat="false" ht="15" hidden="false" customHeight="false" outlineLevel="0" collapsed="false">
      <c r="A12" s="9" t="n">
        <f aca="false">INT((ROW()-11)/4)+1</f>
        <v>1</v>
      </c>
      <c r="B12" s="9" t="n">
        <f aca="false">MOD(ROW()-11,4)+1</f>
        <v>2</v>
      </c>
      <c r="C12" s="10" t="n">
        <v>0</v>
      </c>
      <c r="D12" s="10" t="n">
        <v>1</v>
      </c>
      <c r="E12" s="9" t="n">
        <v>1</v>
      </c>
      <c r="F12" s="11" t="n">
        <f aca="false">F11+M11</f>
        <v>0</v>
      </c>
      <c r="G12" s="11" t="n">
        <f aca="false">G11+N11</f>
        <v>0</v>
      </c>
      <c r="H12" s="11" t="n">
        <f aca="false">H11+O11</f>
        <v>-0.1</v>
      </c>
      <c r="I12" s="11" t="n">
        <f aca="false">C12*F12+D12*G12+E12*H12</f>
        <v>-0.1</v>
      </c>
      <c r="J12" s="9" t="n">
        <f aca="false">IF(I12&gt;=0,1,0)</f>
        <v>0</v>
      </c>
      <c r="K12" s="10" t="n">
        <v>0</v>
      </c>
      <c r="L12" s="9" t="n">
        <f aca="false">K12-J12</f>
        <v>0</v>
      </c>
      <c r="M12" s="11" t="n">
        <f aca="false">$B$8*L12*C12</f>
        <v>0</v>
      </c>
      <c r="N12" s="11" t="n">
        <f aca="false">$B$8*L12*D12</f>
        <v>0</v>
      </c>
      <c r="O12" s="11" t="n">
        <f aca="false">$B$8*L12*E12</f>
        <v>0</v>
      </c>
    </row>
    <row r="13" customFormat="false" ht="15" hidden="false" customHeight="false" outlineLevel="0" collapsed="false">
      <c r="A13" s="9" t="n">
        <f aca="false">INT((ROW()-11)/4)+1</f>
        <v>1</v>
      </c>
      <c r="B13" s="9" t="n">
        <f aca="false">MOD(ROW()-11,4)+1</f>
        <v>3</v>
      </c>
      <c r="C13" s="10" t="n">
        <v>1</v>
      </c>
      <c r="D13" s="10" t="n">
        <v>0</v>
      </c>
      <c r="E13" s="9" t="n">
        <v>1</v>
      </c>
      <c r="F13" s="11" t="n">
        <f aca="false">F12+M12</f>
        <v>0</v>
      </c>
      <c r="G13" s="11" t="n">
        <f aca="false">G12+N12</f>
        <v>0</v>
      </c>
      <c r="H13" s="11" t="n">
        <f aca="false">H12+O12</f>
        <v>-0.1</v>
      </c>
      <c r="I13" s="11" t="n">
        <f aca="false">C13*F13+D13*G13+E13*H13</f>
        <v>-0.1</v>
      </c>
      <c r="J13" s="9" t="n">
        <f aca="false">IF(I13&gt;=0,1,0)</f>
        <v>0</v>
      </c>
      <c r="K13" s="10" t="n">
        <v>0</v>
      </c>
      <c r="L13" s="9" t="n">
        <f aca="false">K13-J13</f>
        <v>0</v>
      </c>
      <c r="M13" s="11" t="n">
        <f aca="false">$B$8*L13*C13</f>
        <v>0</v>
      </c>
      <c r="N13" s="11" t="n">
        <f aca="false">$B$8*L13*D13</f>
        <v>0</v>
      </c>
      <c r="O13" s="11" t="n">
        <f aca="false">$B$8*L13*E13</f>
        <v>0</v>
      </c>
    </row>
    <row r="14" customFormat="false" ht="15" hidden="false" customHeight="false" outlineLevel="0" collapsed="false">
      <c r="A14" s="9" t="n">
        <f aca="false">INT((ROW()-11)/4)+1</f>
        <v>1</v>
      </c>
      <c r="B14" s="9" t="n">
        <f aca="false">MOD(ROW()-11,4)+1</f>
        <v>4</v>
      </c>
      <c r="C14" s="10" t="n">
        <v>1</v>
      </c>
      <c r="D14" s="10" t="n">
        <v>1</v>
      </c>
      <c r="E14" s="9" t="n">
        <v>1</v>
      </c>
      <c r="F14" s="11" t="n">
        <f aca="false">F13+M13</f>
        <v>0</v>
      </c>
      <c r="G14" s="11" t="n">
        <f aca="false">G13+N13</f>
        <v>0</v>
      </c>
      <c r="H14" s="11" t="n">
        <f aca="false">H13+O13</f>
        <v>-0.1</v>
      </c>
      <c r="I14" s="11" t="n">
        <f aca="false">C14*F14+D14*G14+E14*H14</f>
        <v>-0.1</v>
      </c>
      <c r="J14" s="9" t="n">
        <f aca="false">IF(I14&gt;=0,1,0)</f>
        <v>0</v>
      </c>
      <c r="K14" s="10" t="n">
        <v>1</v>
      </c>
      <c r="L14" s="9" t="n">
        <f aca="false">K14-J14</f>
        <v>1</v>
      </c>
      <c r="M14" s="11" t="n">
        <f aca="false">$B$8*L14*C14</f>
        <v>0.1</v>
      </c>
      <c r="N14" s="11" t="n">
        <f aca="false">$B$8*L14*D14</f>
        <v>0.1</v>
      </c>
      <c r="O14" s="11" t="n">
        <f aca="false">$B$8*L14*E14</f>
        <v>0.1</v>
      </c>
    </row>
    <row r="15" customFormat="false" ht="15" hidden="false" customHeight="false" outlineLevel="0" collapsed="false">
      <c r="A15" s="12" t="n">
        <f aca="false">INT((ROW()-11)/4)+1</f>
        <v>2</v>
      </c>
      <c r="B15" s="12" t="n">
        <f aca="false">MOD(ROW()-11,4)+1</f>
        <v>1</v>
      </c>
      <c r="C15" s="13" t="n">
        <v>0</v>
      </c>
      <c r="D15" s="13" t="n">
        <v>0</v>
      </c>
      <c r="E15" s="12" t="n">
        <v>1</v>
      </c>
      <c r="F15" s="14" t="n">
        <f aca="false">F14+M14</f>
        <v>0.1</v>
      </c>
      <c r="G15" s="14" t="n">
        <f aca="false">G14+N14</f>
        <v>0.1</v>
      </c>
      <c r="H15" s="14" t="n">
        <f aca="false">H14+O14</f>
        <v>0</v>
      </c>
      <c r="I15" s="14" t="n">
        <f aca="false">C15*F15+D15*G15+E15*H15</f>
        <v>0</v>
      </c>
      <c r="J15" s="12" t="n">
        <f aca="false">IF(I15&gt;=0,1,0)</f>
        <v>1</v>
      </c>
      <c r="K15" s="13" t="n">
        <v>0</v>
      </c>
      <c r="L15" s="12" t="n">
        <f aca="false">K15-J15</f>
        <v>-1</v>
      </c>
      <c r="M15" s="14" t="n">
        <f aca="false">$B$8*L15*C15</f>
        <v>-0</v>
      </c>
      <c r="N15" s="14" t="n">
        <f aca="false">$B$8*L15*D15</f>
        <v>-0</v>
      </c>
      <c r="O15" s="14" t="n">
        <f aca="false">$B$8*L15*E15</f>
        <v>-0.1</v>
      </c>
    </row>
    <row r="16" customFormat="false" ht="15" hidden="false" customHeight="false" outlineLevel="0" collapsed="false">
      <c r="A16" s="12" t="n">
        <f aca="false">INT((ROW()-11)/4)+1</f>
        <v>2</v>
      </c>
      <c r="B16" s="12" t="n">
        <f aca="false">MOD(ROW()-11,4)+1</f>
        <v>2</v>
      </c>
      <c r="C16" s="13" t="n">
        <v>0</v>
      </c>
      <c r="D16" s="13" t="n">
        <v>1</v>
      </c>
      <c r="E16" s="12" t="n">
        <v>1</v>
      </c>
      <c r="F16" s="14" t="n">
        <f aca="false">F15+M15</f>
        <v>0.1</v>
      </c>
      <c r="G16" s="14" t="n">
        <f aca="false">G15+N15</f>
        <v>0.1</v>
      </c>
      <c r="H16" s="14" t="n">
        <f aca="false">H15+O15</f>
        <v>-0.1</v>
      </c>
      <c r="I16" s="14" t="n">
        <f aca="false">C16*F16+D16*G16+E16*H16</f>
        <v>0</v>
      </c>
      <c r="J16" s="12" t="n">
        <f aca="false">IF(I16&gt;=0,1,0)</f>
        <v>1</v>
      </c>
      <c r="K16" s="13" t="n">
        <v>0</v>
      </c>
      <c r="L16" s="12" t="n">
        <f aca="false">K16-J16</f>
        <v>-1</v>
      </c>
      <c r="M16" s="14" t="n">
        <f aca="false">$B$8*L16*C16</f>
        <v>-0</v>
      </c>
      <c r="N16" s="14" t="n">
        <f aca="false">$B$8*L16*D16</f>
        <v>-0.1</v>
      </c>
      <c r="O16" s="14" t="n">
        <f aca="false">$B$8*L16*E16</f>
        <v>-0.1</v>
      </c>
    </row>
    <row r="17" customFormat="false" ht="15" hidden="false" customHeight="false" outlineLevel="0" collapsed="false">
      <c r="A17" s="12" t="n">
        <f aca="false">INT((ROW()-11)/4)+1</f>
        <v>2</v>
      </c>
      <c r="B17" s="12" t="n">
        <f aca="false">MOD(ROW()-11,4)+1</f>
        <v>3</v>
      </c>
      <c r="C17" s="13" t="n">
        <v>1</v>
      </c>
      <c r="D17" s="13" t="n">
        <v>0</v>
      </c>
      <c r="E17" s="12" t="n">
        <v>1</v>
      </c>
      <c r="F17" s="14" t="n">
        <f aca="false">F16+M16</f>
        <v>0.1</v>
      </c>
      <c r="G17" s="14" t="n">
        <f aca="false">G16+N16</f>
        <v>0</v>
      </c>
      <c r="H17" s="14" t="n">
        <f aca="false">H16+O16</f>
        <v>-0.2</v>
      </c>
      <c r="I17" s="14" t="n">
        <f aca="false">C17*F17+D17*G17+E17*H17</f>
        <v>-0.1</v>
      </c>
      <c r="J17" s="12" t="n">
        <f aca="false">IF(I17&gt;=0,1,0)</f>
        <v>0</v>
      </c>
      <c r="K17" s="13" t="n">
        <v>0</v>
      </c>
      <c r="L17" s="12" t="n">
        <f aca="false">K17-J17</f>
        <v>0</v>
      </c>
      <c r="M17" s="14" t="n">
        <f aca="false">$B$8*L17*C17</f>
        <v>0</v>
      </c>
      <c r="N17" s="14" t="n">
        <f aca="false">$B$8*L17*D17</f>
        <v>0</v>
      </c>
      <c r="O17" s="14" t="n">
        <f aca="false">$B$8*L17*E17</f>
        <v>0</v>
      </c>
    </row>
    <row r="18" customFormat="false" ht="15" hidden="false" customHeight="false" outlineLevel="0" collapsed="false">
      <c r="A18" s="12" t="n">
        <f aca="false">INT((ROW()-11)/4)+1</f>
        <v>2</v>
      </c>
      <c r="B18" s="12" t="n">
        <f aca="false">MOD(ROW()-11,4)+1</f>
        <v>4</v>
      </c>
      <c r="C18" s="13" t="n">
        <v>1</v>
      </c>
      <c r="D18" s="13" t="n">
        <v>1</v>
      </c>
      <c r="E18" s="12" t="n">
        <v>1</v>
      </c>
      <c r="F18" s="14" t="n">
        <f aca="false">F17+M17</f>
        <v>0.1</v>
      </c>
      <c r="G18" s="14" t="n">
        <f aca="false">G17+N17</f>
        <v>0</v>
      </c>
      <c r="H18" s="14" t="n">
        <f aca="false">H17+O17</f>
        <v>-0.2</v>
      </c>
      <c r="I18" s="14" t="n">
        <f aca="false">C18*F18+D18*G18+E18*H18</f>
        <v>-0.1</v>
      </c>
      <c r="J18" s="12" t="n">
        <f aca="false">IF(I18&gt;=0,1,0)</f>
        <v>0</v>
      </c>
      <c r="K18" s="13" t="n">
        <v>1</v>
      </c>
      <c r="L18" s="12" t="n">
        <f aca="false">K18-J18</f>
        <v>1</v>
      </c>
      <c r="M18" s="14" t="n">
        <f aca="false">$B$8*L18*C18</f>
        <v>0.1</v>
      </c>
      <c r="N18" s="14" t="n">
        <f aca="false">$B$8*L18*D18</f>
        <v>0.1</v>
      </c>
      <c r="O18" s="14" t="n">
        <f aca="false">$B$8*L18*E18</f>
        <v>0.1</v>
      </c>
    </row>
    <row r="19" customFormat="false" ht="15" hidden="false" customHeight="false" outlineLevel="0" collapsed="false">
      <c r="A19" s="9" t="n">
        <f aca="false">INT((ROW()-11)/4)+1</f>
        <v>3</v>
      </c>
      <c r="B19" s="9" t="n">
        <f aca="false">MOD(ROW()-11,4)+1</f>
        <v>1</v>
      </c>
      <c r="C19" s="10" t="n">
        <v>0</v>
      </c>
      <c r="D19" s="10" t="n">
        <v>0</v>
      </c>
      <c r="E19" s="9" t="n">
        <v>1</v>
      </c>
      <c r="F19" s="11" t="n">
        <f aca="false">F18+M18</f>
        <v>0.2</v>
      </c>
      <c r="G19" s="11" t="n">
        <f aca="false">G18+N18</f>
        <v>0.1</v>
      </c>
      <c r="H19" s="11" t="n">
        <f aca="false">H18+O18</f>
        <v>-0.1</v>
      </c>
      <c r="I19" s="11" t="n">
        <f aca="false">C19*F19+D19*G19+E19*H19</f>
        <v>-0.1</v>
      </c>
      <c r="J19" s="9" t="n">
        <f aca="false">IF(I19&gt;=0,1,0)</f>
        <v>0</v>
      </c>
      <c r="K19" s="10" t="n">
        <v>0</v>
      </c>
      <c r="L19" s="9" t="n">
        <f aca="false">K19-J19</f>
        <v>0</v>
      </c>
      <c r="M19" s="11" t="n">
        <f aca="false">$B$8*L19*C19</f>
        <v>0</v>
      </c>
      <c r="N19" s="11" t="n">
        <f aca="false">$B$8*L19*D19</f>
        <v>0</v>
      </c>
      <c r="O19" s="11" t="n">
        <f aca="false">$B$8*L19*E19</f>
        <v>0</v>
      </c>
    </row>
    <row r="20" customFormat="false" ht="15" hidden="false" customHeight="false" outlineLevel="0" collapsed="false">
      <c r="A20" s="9" t="n">
        <f aca="false">INT((ROW()-11)/4)+1</f>
        <v>3</v>
      </c>
      <c r="B20" s="9" t="n">
        <f aca="false">MOD(ROW()-11,4)+1</f>
        <v>2</v>
      </c>
      <c r="C20" s="10" t="n">
        <v>0</v>
      </c>
      <c r="D20" s="10" t="n">
        <v>1</v>
      </c>
      <c r="E20" s="9" t="n">
        <v>1</v>
      </c>
      <c r="F20" s="11" t="n">
        <f aca="false">F19+M19</f>
        <v>0.2</v>
      </c>
      <c r="G20" s="11" t="n">
        <f aca="false">G19+N19</f>
        <v>0.1</v>
      </c>
      <c r="H20" s="11" t="n">
        <f aca="false">H19+O19</f>
        <v>-0.1</v>
      </c>
      <c r="I20" s="11" t="n">
        <f aca="false">C20*F20+D20*G20+E20*H20</f>
        <v>0</v>
      </c>
      <c r="J20" s="9" t="n">
        <f aca="false">IF(I20&gt;=0,1,0)</f>
        <v>1</v>
      </c>
      <c r="K20" s="10" t="n">
        <v>0</v>
      </c>
      <c r="L20" s="9" t="n">
        <f aca="false">K20-J20</f>
        <v>-1</v>
      </c>
      <c r="M20" s="11" t="n">
        <f aca="false">$B$8*L20*C20</f>
        <v>-0</v>
      </c>
      <c r="N20" s="11" t="n">
        <f aca="false">$B$8*L20*D20</f>
        <v>-0.1</v>
      </c>
      <c r="O20" s="11" t="n">
        <f aca="false">$B$8*L20*E20</f>
        <v>-0.1</v>
      </c>
    </row>
    <row r="21" customFormat="false" ht="15" hidden="false" customHeight="false" outlineLevel="0" collapsed="false">
      <c r="A21" s="9" t="n">
        <f aca="false">INT((ROW()-11)/4)+1</f>
        <v>3</v>
      </c>
      <c r="B21" s="9" t="n">
        <f aca="false">MOD(ROW()-11,4)+1</f>
        <v>3</v>
      </c>
      <c r="C21" s="10" t="n">
        <v>1</v>
      </c>
      <c r="D21" s="10" t="n">
        <v>0</v>
      </c>
      <c r="E21" s="9" t="n">
        <v>1</v>
      </c>
      <c r="F21" s="11" t="n">
        <f aca="false">F20+M20</f>
        <v>0.2</v>
      </c>
      <c r="G21" s="11" t="n">
        <f aca="false">G20+N20</f>
        <v>0</v>
      </c>
      <c r="H21" s="11" t="n">
        <f aca="false">H20+O20</f>
        <v>-0.2</v>
      </c>
      <c r="I21" s="11" t="n">
        <f aca="false">C21*F21+D21*G21+E21*H21</f>
        <v>0</v>
      </c>
      <c r="J21" s="9" t="n">
        <f aca="false">IF(I21&gt;=0,1,0)</f>
        <v>1</v>
      </c>
      <c r="K21" s="10" t="n">
        <v>0</v>
      </c>
      <c r="L21" s="9" t="n">
        <f aca="false">K21-J21</f>
        <v>-1</v>
      </c>
      <c r="M21" s="11" t="n">
        <f aca="false">$B$8*L21*C21</f>
        <v>-0.1</v>
      </c>
      <c r="N21" s="11" t="n">
        <f aca="false">$B$8*L21*D21</f>
        <v>-0</v>
      </c>
      <c r="O21" s="11" t="n">
        <f aca="false">$B$8*L21*E21</f>
        <v>-0.1</v>
      </c>
    </row>
    <row r="22" customFormat="false" ht="15" hidden="false" customHeight="false" outlineLevel="0" collapsed="false">
      <c r="A22" s="9" t="n">
        <f aca="false">INT((ROW()-11)/4)+1</f>
        <v>3</v>
      </c>
      <c r="B22" s="9" t="n">
        <f aca="false">MOD(ROW()-11,4)+1</f>
        <v>4</v>
      </c>
      <c r="C22" s="10" t="n">
        <v>1</v>
      </c>
      <c r="D22" s="10" t="n">
        <v>1</v>
      </c>
      <c r="E22" s="9" t="n">
        <v>1</v>
      </c>
      <c r="F22" s="11" t="n">
        <f aca="false">F21+M21</f>
        <v>0.1</v>
      </c>
      <c r="G22" s="11" t="n">
        <f aca="false">G21+N21</f>
        <v>0</v>
      </c>
      <c r="H22" s="11" t="n">
        <f aca="false">H21+O21</f>
        <v>-0.3</v>
      </c>
      <c r="I22" s="11" t="n">
        <f aca="false">C22*F22+D22*G22+E22*H22</f>
        <v>-0.2</v>
      </c>
      <c r="J22" s="9" t="n">
        <f aca="false">IF(I22&gt;=0,1,0)</f>
        <v>0</v>
      </c>
      <c r="K22" s="10" t="n">
        <v>1</v>
      </c>
      <c r="L22" s="9" t="n">
        <f aca="false">K22-J22</f>
        <v>1</v>
      </c>
      <c r="M22" s="11" t="n">
        <f aca="false">$B$8*L22*C22</f>
        <v>0.1</v>
      </c>
      <c r="N22" s="11" t="n">
        <f aca="false">$B$8*L22*D22</f>
        <v>0.1</v>
      </c>
      <c r="O22" s="11" t="n">
        <f aca="false">$B$8*L22*E22</f>
        <v>0.1</v>
      </c>
    </row>
    <row r="23" customFormat="false" ht="15" hidden="false" customHeight="false" outlineLevel="0" collapsed="false">
      <c r="A23" s="12" t="n">
        <f aca="false">INT((ROW()-11)/4)+1</f>
        <v>4</v>
      </c>
      <c r="B23" s="12" t="n">
        <f aca="false">MOD(ROW()-11,4)+1</f>
        <v>1</v>
      </c>
      <c r="C23" s="13" t="n">
        <v>0</v>
      </c>
      <c r="D23" s="13" t="n">
        <v>0</v>
      </c>
      <c r="E23" s="12" t="n">
        <v>1</v>
      </c>
      <c r="F23" s="14" t="n">
        <f aca="false">F22+M22</f>
        <v>0.2</v>
      </c>
      <c r="G23" s="14" t="n">
        <f aca="false">G22+N22</f>
        <v>0.1</v>
      </c>
      <c r="H23" s="14" t="n">
        <f aca="false">H22+O22</f>
        <v>-0.2</v>
      </c>
      <c r="I23" s="14" t="n">
        <f aca="false">C23*F23+D23*G23+E23*H23</f>
        <v>-0.2</v>
      </c>
      <c r="J23" s="12" t="n">
        <f aca="false">IF(I23&gt;=0,1,0)</f>
        <v>0</v>
      </c>
      <c r="K23" s="13" t="n">
        <v>0</v>
      </c>
      <c r="L23" s="12" t="n">
        <f aca="false">K23-J23</f>
        <v>0</v>
      </c>
      <c r="M23" s="14" t="n">
        <f aca="false">$B$8*L23*C23</f>
        <v>0</v>
      </c>
      <c r="N23" s="14" t="n">
        <f aca="false">$B$8*L23*D23</f>
        <v>0</v>
      </c>
      <c r="O23" s="14" t="n">
        <f aca="false">$B$8*L23*E23</f>
        <v>0</v>
      </c>
    </row>
    <row r="24" customFormat="false" ht="15" hidden="false" customHeight="false" outlineLevel="0" collapsed="false">
      <c r="A24" s="12" t="n">
        <f aca="false">INT((ROW()-11)/4)+1</f>
        <v>4</v>
      </c>
      <c r="B24" s="12" t="n">
        <f aca="false">MOD(ROW()-11,4)+1</f>
        <v>2</v>
      </c>
      <c r="C24" s="13" t="n">
        <v>0</v>
      </c>
      <c r="D24" s="13" t="n">
        <v>1</v>
      </c>
      <c r="E24" s="12" t="n">
        <v>1</v>
      </c>
      <c r="F24" s="14" t="n">
        <f aca="false">F23+M23</f>
        <v>0.2</v>
      </c>
      <c r="G24" s="14" t="n">
        <f aca="false">G23+N23</f>
        <v>0.1</v>
      </c>
      <c r="H24" s="14" t="n">
        <f aca="false">H23+O23</f>
        <v>-0.2</v>
      </c>
      <c r="I24" s="14" t="n">
        <f aca="false">C24*F24+D24*G24+E24*H24</f>
        <v>-0.1</v>
      </c>
      <c r="J24" s="12" t="n">
        <f aca="false">IF(I24&gt;=0,1,0)</f>
        <v>0</v>
      </c>
      <c r="K24" s="13" t="n">
        <v>0</v>
      </c>
      <c r="L24" s="12" t="n">
        <f aca="false">K24-J24</f>
        <v>0</v>
      </c>
      <c r="M24" s="14" t="n">
        <f aca="false">$B$8*L24*C24</f>
        <v>0</v>
      </c>
      <c r="N24" s="14" t="n">
        <f aca="false">$B$8*L24*D24</f>
        <v>0</v>
      </c>
      <c r="O24" s="14" t="n">
        <f aca="false">$B$8*L24*E24</f>
        <v>0</v>
      </c>
    </row>
    <row r="25" customFormat="false" ht="15" hidden="false" customHeight="false" outlineLevel="0" collapsed="false">
      <c r="A25" s="12" t="n">
        <f aca="false">INT((ROW()-11)/4)+1</f>
        <v>4</v>
      </c>
      <c r="B25" s="12" t="n">
        <f aca="false">MOD(ROW()-11,4)+1</f>
        <v>3</v>
      </c>
      <c r="C25" s="13" t="n">
        <v>1</v>
      </c>
      <c r="D25" s="13" t="n">
        <v>0</v>
      </c>
      <c r="E25" s="12" t="n">
        <v>1</v>
      </c>
      <c r="F25" s="14" t="n">
        <f aca="false">F24+M24</f>
        <v>0.2</v>
      </c>
      <c r="G25" s="14" t="n">
        <f aca="false">G24+N24</f>
        <v>0.1</v>
      </c>
      <c r="H25" s="14" t="n">
        <f aca="false">H24+O24</f>
        <v>-0.2</v>
      </c>
      <c r="I25" s="14" t="n">
        <f aca="false">C25*F25+D25*G25+E25*H25</f>
        <v>0</v>
      </c>
      <c r="J25" s="12" t="n">
        <f aca="false">IF(I25&gt;=0,1,0)</f>
        <v>1</v>
      </c>
      <c r="K25" s="13" t="n">
        <v>0</v>
      </c>
      <c r="L25" s="12" t="n">
        <f aca="false">K25-J25</f>
        <v>-1</v>
      </c>
      <c r="M25" s="14" t="n">
        <f aca="false">$B$8*L25*C25</f>
        <v>-0.1</v>
      </c>
      <c r="N25" s="14" t="n">
        <f aca="false">$B$8*L25*D25</f>
        <v>-0</v>
      </c>
      <c r="O25" s="14" t="n">
        <f aca="false">$B$8*L25*E25</f>
        <v>-0.1</v>
      </c>
    </row>
    <row r="26" customFormat="false" ht="15" hidden="false" customHeight="false" outlineLevel="0" collapsed="false">
      <c r="A26" s="12" t="n">
        <f aca="false">INT((ROW()-11)/4)+1</f>
        <v>4</v>
      </c>
      <c r="B26" s="12" t="n">
        <f aca="false">MOD(ROW()-11,4)+1</f>
        <v>4</v>
      </c>
      <c r="C26" s="13" t="n">
        <v>1</v>
      </c>
      <c r="D26" s="13" t="n">
        <v>1</v>
      </c>
      <c r="E26" s="12" t="n">
        <v>1</v>
      </c>
      <c r="F26" s="14" t="n">
        <f aca="false">F25+M25</f>
        <v>0.1</v>
      </c>
      <c r="G26" s="14" t="n">
        <f aca="false">G25+N25</f>
        <v>0.1</v>
      </c>
      <c r="H26" s="14" t="n">
        <f aca="false">H25+O25</f>
        <v>-0.3</v>
      </c>
      <c r="I26" s="14" t="n">
        <f aca="false">C26*F26+D26*G26+E26*H26</f>
        <v>-0.1</v>
      </c>
      <c r="J26" s="12" t="n">
        <f aca="false">IF(I26&gt;=0,1,0)</f>
        <v>0</v>
      </c>
      <c r="K26" s="13" t="n">
        <v>1</v>
      </c>
      <c r="L26" s="12" t="n">
        <f aca="false">K26-J26</f>
        <v>1</v>
      </c>
      <c r="M26" s="14" t="n">
        <f aca="false">$B$8*L26*C26</f>
        <v>0.1</v>
      </c>
      <c r="N26" s="14" t="n">
        <f aca="false">$B$8*L26*D26</f>
        <v>0.1</v>
      </c>
      <c r="O26" s="14" t="n">
        <f aca="false">$B$8*L26*E26</f>
        <v>0.1</v>
      </c>
    </row>
    <row r="27" customFormat="false" ht="15" hidden="false" customHeight="false" outlineLevel="0" collapsed="false">
      <c r="A27" s="9" t="n">
        <f aca="false">INT((ROW()-11)/4)+1</f>
        <v>5</v>
      </c>
      <c r="B27" s="9" t="n">
        <f aca="false">MOD(ROW()-11,4)+1</f>
        <v>1</v>
      </c>
      <c r="C27" s="10" t="n">
        <v>0</v>
      </c>
      <c r="D27" s="10" t="n">
        <v>0</v>
      </c>
      <c r="E27" s="9" t="n">
        <v>1</v>
      </c>
      <c r="F27" s="11" t="n">
        <f aca="false">F26+M26</f>
        <v>0.2</v>
      </c>
      <c r="G27" s="11" t="n">
        <f aca="false">G26+N26</f>
        <v>0.2</v>
      </c>
      <c r="H27" s="11" t="n">
        <f aca="false">H26+O26</f>
        <v>-0.2</v>
      </c>
      <c r="I27" s="11" t="n">
        <f aca="false">C27*F27+D27*G27+E27*H27</f>
        <v>-0.2</v>
      </c>
      <c r="J27" s="9" t="n">
        <f aca="false">IF(I27&gt;=0,1,0)</f>
        <v>0</v>
      </c>
      <c r="K27" s="10" t="n">
        <v>0</v>
      </c>
      <c r="L27" s="9" t="n">
        <f aca="false">K27-J27</f>
        <v>0</v>
      </c>
      <c r="M27" s="11" t="n">
        <f aca="false">$B$8*L27*C27</f>
        <v>0</v>
      </c>
      <c r="N27" s="11" t="n">
        <f aca="false">$B$8*L27*D27</f>
        <v>0</v>
      </c>
      <c r="O27" s="11" t="n">
        <f aca="false">$B$8*L27*E27</f>
        <v>0</v>
      </c>
    </row>
    <row r="28" customFormat="false" ht="15" hidden="false" customHeight="false" outlineLevel="0" collapsed="false">
      <c r="A28" s="9" t="n">
        <f aca="false">INT((ROW()-11)/4)+1</f>
        <v>5</v>
      </c>
      <c r="B28" s="9" t="n">
        <f aca="false">MOD(ROW()-11,4)+1</f>
        <v>2</v>
      </c>
      <c r="C28" s="10" t="n">
        <v>0</v>
      </c>
      <c r="D28" s="10" t="n">
        <v>1</v>
      </c>
      <c r="E28" s="9" t="n">
        <v>1</v>
      </c>
      <c r="F28" s="11" t="n">
        <f aca="false">F27+M27</f>
        <v>0.2</v>
      </c>
      <c r="G28" s="11" t="n">
        <f aca="false">G27+N27</f>
        <v>0.2</v>
      </c>
      <c r="H28" s="11" t="n">
        <f aca="false">H27+O27</f>
        <v>-0.2</v>
      </c>
      <c r="I28" s="11" t="n">
        <f aca="false">C28*F28+D28*G28+E28*H28</f>
        <v>0</v>
      </c>
      <c r="J28" s="9" t="n">
        <f aca="false">IF(I28&gt;=0,1,0)</f>
        <v>1</v>
      </c>
      <c r="K28" s="10" t="n">
        <v>0</v>
      </c>
      <c r="L28" s="9" t="n">
        <f aca="false">K28-J28</f>
        <v>-1</v>
      </c>
      <c r="M28" s="11" t="n">
        <f aca="false">$B$8*L28*C28</f>
        <v>-0</v>
      </c>
      <c r="N28" s="11" t="n">
        <f aca="false">$B$8*L28*D28</f>
        <v>-0.1</v>
      </c>
      <c r="O28" s="11" t="n">
        <f aca="false">$B$8*L28*E28</f>
        <v>-0.1</v>
      </c>
    </row>
    <row r="29" customFormat="false" ht="15" hidden="false" customHeight="false" outlineLevel="0" collapsed="false">
      <c r="A29" s="9" t="n">
        <f aca="false">INT((ROW()-11)/4)+1</f>
        <v>5</v>
      </c>
      <c r="B29" s="9" t="n">
        <f aca="false">MOD(ROW()-11,4)+1</f>
        <v>3</v>
      </c>
      <c r="C29" s="10" t="n">
        <v>1</v>
      </c>
      <c r="D29" s="10" t="n">
        <v>0</v>
      </c>
      <c r="E29" s="9" t="n">
        <v>1</v>
      </c>
      <c r="F29" s="11" t="n">
        <f aca="false">F28+M28</f>
        <v>0.2</v>
      </c>
      <c r="G29" s="11" t="n">
        <f aca="false">G28+N28</f>
        <v>0.1</v>
      </c>
      <c r="H29" s="11" t="n">
        <f aca="false">H28+O28</f>
        <v>-0.3</v>
      </c>
      <c r="I29" s="11" t="n">
        <f aca="false">C29*F29+D29*G29+E29*H29</f>
        <v>-0.1</v>
      </c>
      <c r="J29" s="9" t="n">
        <f aca="false">IF(I29&gt;=0,1,0)</f>
        <v>0</v>
      </c>
      <c r="K29" s="10" t="n">
        <v>0</v>
      </c>
      <c r="L29" s="9" t="n">
        <f aca="false">K29-J29</f>
        <v>0</v>
      </c>
      <c r="M29" s="11" t="n">
        <f aca="false">$B$8*L29*C29</f>
        <v>0</v>
      </c>
      <c r="N29" s="11" t="n">
        <f aca="false">$B$8*L29*D29</f>
        <v>0</v>
      </c>
      <c r="O29" s="11" t="n">
        <f aca="false">$B$8*L29*E29</f>
        <v>0</v>
      </c>
    </row>
    <row r="30" customFormat="false" ht="15" hidden="false" customHeight="false" outlineLevel="0" collapsed="false">
      <c r="A30" s="9" t="n">
        <f aca="false">INT((ROW()-11)/4)+1</f>
        <v>5</v>
      </c>
      <c r="B30" s="9" t="n">
        <f aca="false">MOD(ROW()-11,4)+1</f>
        <v>4</v>
      </c>
      <c r="C30" s="10" t="n">
        <v>1</v>
      </c>
      <c r="D30" s="10" t="n">
        <v>1</v>
      </c>
      <c r="E30" s="9" t="n">
        <v>1</v>
      </c>
      <c r="F30" s="11" t="n">
        <f aca="false">F29+M29</f>
        <v>0.2</v>
      </c>
      <c r="G30" s="11" t="n">
        <f aca="false">G29+N29</f>
        <v>0.1</v>
      </c>
      <c r="H30" s="11" t="n">
        <f aca="false">H29+O29</f>
        <v>-0.3</v>
      </c>
      <c r="I30" s="11" t="n">
        <f aca="false">C30*F30+D30*G30+E30*H30</f>
        <v>0</v>
      </c>
      <c r="J30" s="9" t="n">
        <f aca="false">IF(I30&gt;=0,1,0)</f>
        <v>1</v>
      </c>
      <c r="K30" s="10" t="n">
        <v>1</v>
      </c>
      <c r="L30" s="9" t="n">
        <f aca="false">K30-J30</f>
        <v>0</v>
      </c>
      <c r="M30" s="11" t="n">
        <f aca="false">$B$8*L30*C30</f>
        <v>0</v>
      </c>
      <c r="N30" s="11" t="n">
        <f aca="false">$B$8*L30*D30</f>
        <v>0</v>
      </c>
      <c r="O30" s="11" t="n">
        <f aca="false">$B$8*L30*E30</f>
        <v>0</v>
      </c>
    </row>
    <row r="31" customFormat="false" ht="15" hidden="false" customHeight="false" outlineLevel="0" collapsed="false">
      <c r="A31" s="12" t="n">
        <f aca="false">INT((ROW()-11)/4)+1</f>
        <v>6</v>
      </c>
      <c r="B31" s="12" t="n">
        <f aca="false">MOD(ROW()-11,4)+1</f>
        <v>1</v>
      </c>
      <c r="C31" s="13" t="n">
        <v>0</v>
      </c>
      <c r="D31" s="13" t="n">
        <v>0</v>
      </c>
      <c r="E31" s="12" t="n">
        <v>1</v>
      </c>
      <c r="F31" s="14" t="n">
        <f aca="false">F30+M30</f>
        <v>0.2</v>
      </c>
      <c r="G31" s="14" t="n">
        <f aca="false">G30+N30</f>
        <v>0.1</v>
      </c>
      <c r="H31" s="14" t="n">
        <f aca="false">H30+O30</f>
        <v>-0.3</v>
      </c>
      <c r="I31" s="14" t="n">
        <f aca="false">C31*F31+D31*G31+E31*H31</f>
        <v>-0.3</v>
      </c>
      <c r="J31" s="12" t="n">
        <f aca="false">IF(I31&gt;=0,1,0)</f>
        <v>0</v>
      </c>
      <c r="K31" s="13" t="n">
        <v>0</v>
      </c>
      <c r="L31" s="12" t="n">
        <f aca="false">K31-J31</f>
        <v>0</v>
      </c>
      <c r="M31" s="14" t="n">
        <f aca="false">$B$8*L31*C31</f>
        <v>0</v>
      </c>
      <c r="N31" s="14" t="n">
        <f aca="false">$B$8*L31*D31</f>
        <v>0</v>
      </c>
      <c r="O31" s="14" t="n">
        <f aca="false">$B$8*L31*E31</f>
        <v>0</v>
      </c>
    </row>
    <row r="32" customFormat="false" ht="15" hidden="false" customHeight="false" outlineLevel="0" collapsed="false">
      <c r="A32" s="12" t="n">
        <f aca="false">INT((ROW()-11)/4)+1</f>
        <v>6</v>
      </c>
      <c r="B32" s="12" t="n">
        <f aca="false">MOD(ROW()-11,4)+1</f>
        <v>2</v>
      </c>
      <c r="C32" s="13" t="n">
        <v>0</v>
      </c>
      <c r="D32" s="13" t="n">
        <v>1</v>
      </c>
      <c r="E32" s="12" t="n">
        <v>1</v>
      </c>
      <c r="F32" s="14" t="n">
        <f aca="false">F31+M31</f>
        <v>0.2</v>
      </c>
      <c r="G32" s="14" t="n">
        <f aca="false">G31+N31</f>
        <v>0.1</v>
      </c>
      <c r="H32" s="14" t="n">
        <f aca="false">H31+O31</f>
        <v>-0.3</v>
      </c>
      <c r="I32" s="14" t="n">
        <f aca="false">C32*F32+D32*G32+E32*H32</f>
        <v>-0.2</v>
      </c>
      <c r="J32" s="12" t="n">
        <f aca="false">IF(I32&gt;=0,1,0)</f>
        <v>0</v>
      </c>
      <c r="K32" s="13" t="n">
        <v>0</v>
      </c>
      <c r="L32" s="12" t="n">
        <f aca="false">K32-J32</f>
        <v>0</v>
      </c>
      <c r="M32" s="14" t="n">
        <f aca="false">$B$8*L32*C32</f>
        <v>0</v>
      </c>
      <c r="N32" s="14" t="n">
        <f aca="false">$B$8*L32*D32</f>
        <v>0</v>
      </c>
      <c r="O32" s="14" t="n">
        <f aca="false">$B$8*L32*E32</f>
        <v>0</v>
      </c>
    </row>
    <row r="33" customFormat="false" ht="15" hidden="false" customHeight="false" outlineLevel="0" collapsed="false">
      <c r="A33" s="12" t="n">
        <f aca="false">INT((ROW()-11)/4)+1</f>
        <v>6</v>
      </c>
      <c r="B33" s="12" t="n">
        <f aca="false">MOD(ROW()-11,4)+1</f>
        <v>3</v>
      </c>
      <c r="C33" s="13" t="n">
        <v>1</v>
      </c>
      <c r="D33" s="13" t="n">
        <v>0</v>
      </c>
      <c r="E33" s="12" t="n">
        <v>1</v>
      </c>
      <c r="F33" s="14" t="n">
        <f aca="false">F32+M32</f>
        <v>0.2</v>
      </c>
      <c r="G33" s="14" t="n">
        <f aca="false">G32+N32</f>
        <v>0.1</v>
      </c>
      <c r="H33" s="14" t="n">
        <f aca="false">H32+O32</f>
        <v>-0.3</v>
      </c>
      <c r="I33" s="14" t="n">
        <f aca="false">C33*F33+D33*G33+E33*H33</f>
        <v>-0.1</v>
      </c>
      <c r="J33" s="12" t="n">
        <f aca="false">IF(I33&gt;=0,1,0)</f>
        <v>0</v>
      </c>
      <c r="K33" s="13" t="n">
        <v>0</v>
      </c>
      <c r="L33" s="12" t="n">
        <f aca="false">K33-J33</f>
        <v>0</v>
      </c>
      <c r="M33" s="14" t="n">
        <f aca="false">$B$8*L33*C33</f>
        <v>0</v>
      </c>
      <c r="N33" s="14" t="n">
        <f aca="false">$B$8*L33*D33</f>
        <v>0</v>
      </c>
      <c r="O33" s="14" t="n">
        <f aca="false">$B$8*L33*E33</f>
        <v>0</v>
      </c>
    </row>
    <row r="34" customFormat="false" ht="15" hidden="false" customHeight="false" outlineLevel="0" collapsed="false">
      <c r="A34" s="12" t="n">
        <f aca="false">INT((ROW()-11)/4)+1</f>
        <v>6</v>
      </c>
      <c r="B34" s="12" t="n">
        <f aca="false">MOD(ROW()-11,4)+1</f>
        <v>4</v>
      </c>
      <c r="C34" s="13" t="n">
        <v>1</v>
      </c>
      <c r="D34" s="13" t="n">
        <v>1</v>
      </c>
      <c r="E34" s="12" t="n">
        <v>1</v>
      </c>
      <c r="F34" s="14" t="n">
        <f aca="false">F33+M33</f>
        <v>0.2</v>
      </c>
      <c r="G34" s="14" t="n">
        <f aca="false">G33+N33</f>
        <v>0.1</v>
      </c>
      <c r="H34" s="14" t="n">
        <f aca="false">H33+O33</f>
        <v>-0.3</v>
      </c>
      <c r="I34" s="14" t="n">
        <f aca="false">C34*F34+D34*G34+E34*H34</f>
        <v>0</v>
      </c>
      <c r="J34" s="12" t="n">
        <f aca="false">IF(I34&gt;=0,1,0)</f>
        <v>1</v>
      </c>
      <c r="K34" s="13" t="n">
        <v>1</v>
      </c>
      <c r="L34" s="12" t="n">
        <f aca="false">K34-J34</f>
        <v>0</v>
      </c>
      <c r="M34" s="14" t="n">
        <f aca="false">$B$8*L34*C34</f>
        <v>0</v>
      </c>
      <c r="N34" s="14" t="n">
        <f aca="false">$B$8*L34*D34</f>
        <v>0</v>
      </c>
      <c r="O34" s="14" t="n">
        <f aca="false">$B$8*L34*E34</f>
        <v>0</v>
      </c>
    </row>
    <row r="35" customFormat="false" ht="15" hidden="false" customHeight="false" outlineLevel="0" collapsed="false">
      <c r="A35" s="9" t="n">
        <f aca="false">INT((ROW()-11)/4)+1</f>
        <v>7</v>
      </c>
      <c r="B35" s="9" t="n">
        <f aca="false">MOD(ROW()-11,4)+1</f>
        <v>1</v>
      </c>
      <c r="C35" s="10" t="n">
        <v>0</v>
      </c>
      <c r="D35" s="10" t="n">
        <v>0</v>
      </c>
      <c r="E35" s="9" t="n">
        <v>1</v>
      </c>
      <c r="F35" s="11" t="n">
        <f aca="false">F34+M34</f>
        <v>0.2</v>
      </c>
      <c r="G35" s="11" t="n">
        <f aca="false">G34+N34</f>
        <v>0.1</v>
      </c>
      <c r="H35" s="11" t="n">
        <f aca="false">H34+O34</f>
        <v>-0.3</v>
      </c>
      <c r="I35" s="11" t="n">
        <f aca="false">C35*F35+D35*G35+E35*H35</f>
        <v>-0.3</v>
      </c>
      <c r="J35" s="9" t="n">
        <f aca="false">IF(I35&gt;=0,1,0)</f>
        <v>0</v>
      </c>
      <c r="K35" s="10" t="n">
        <v>0</v>
      </c>
      <c r="L35" s="9" t="n">
        <f aca="false">K35-J35</f>
        <v>0</v>
      </c>
      <c r="M35" s="11" t="n">
        <f aca="false">$B$8*L35*C35</f>
        <v>0</v>
      </c>
      <c r="N35" s="11" t="n">
        <f aca="false">$B$8*L35*D35</f>
        <v>0</v>
      </c>
      <c r="O35" s="11" t="n">
        <f aca="false">$B$8*L35*E35</f>
        <v>0</v>
      </c>
    </row>
    <row r="36" customFormat="false" ht="15" hidden="false" customHeight="false" outlineLevel="0" collapsed="false">
      <c r="A36" s="9" t="n">
        <f aca="false">INT((ROW()-11)/4)+1</f>
        <v>7</v>
      </c>
      <c r="B36" s="9" t="n">
        <f aca="false">MOD(ROW()-11,4)+1</f>
        <v>2</v>
      </c>
      <c r="C36" s="10" t="n">
        <v>0</v>
      </c>
      <c r="D36" s="10" t="n">
        <v>1</v>
      </c>
      <c r="E36" s="9" t="n">
        <v>1</v>
      </c>
      <c r="F36" s="11" t="n">
        <f aca="false">F35+M35</f>
        <v>0.2</v>
      </c>
      <c r="G36" s="11" t="n">
        <f aca="false">G35+N35</f>
        <v>0.1</v>
      </c>
      <c r="H36" s="11" t="n">
        <f aca="false">H35+O35</f>
        <v>-0.3</v>
      </c>
      <c r="I36" s="11" t="n">
        <f aca="false">C36*F36+D36*G36+E36*H36</f>
        <v>-0.2</v>
      </c>
      <c r="J36" s="9" t="n">
        <f aca="false">IF(I36&gt;=0,1,0)</f>
        <v>0</v>
      </c>
      <c r="K36" s="10" t="n">
        <v>0</v>
      </c>
      <c r="L36" s="9" t="n">
        <f aca="false">K36-J36</f>
        <v>0</v>
      </c>
      <c r="M36" s="11" t="n">
        <f aca="false">$B$8*L36*C36</f>
        <v>0</v>
      </c>
      <c r="N36" s="11" t="n">
        <f aca="false">$B$8*L36*D36</f>
        <v>0</v>
      </c>
      <c r="O36" s="11" t="n">
        <f aca="false">$B$8*L36*E36</f>
        <v>0</v>
      </c>
    </row>
    <row r="37" customFormat="false" ht="15" hidden="false" customHeight="false" outlineLevel="0" collapsed="false">
      <c r="A37" s="9" t="n">
        <f aca="false">INT((ROW()-11)/4)+1</f>
        <v>7</v>
      </c>
      <c r="B37" s="9" t="n">
        <f aca="false">MOD(ROW()-11,4)+1</f>
        <v>3</v>
      </c>
      <c r="C37" s="10" t="n">
        <v>1</v>
      </c>
      <c r="D37" s="10" t="n">
        <v>0</v>
      </c>
      <c r="E37" s="9" t="n">
        <v>1</v>
      </c>
      <c r="F37" s="11" t="n">
        <f aca="false">F36+M36</f>
        <v>0.2</v>
      </c>
      <c r="G37" s="11" t="n">
        <f aca="false">G36+N36</f>
        <v>0.1</v>
      </c>
      <c r="H37" s="11" t="n">
        <f aca="false">H36+O36</f>
        <v>-0.3</v>
      </c>
      <c r="I37" s="11" t="n">
        <f aca="false">C37*F37+D37*G37+E37*H37</f>
        <v>-0.1</v>
      </c>
      <c r="J37" s="9" t="n">
        <f aca="false">IF(I37&gt;=0,1,0)</f>
        <v>0</v>
      </c>
      <c r="K37" s="10" t="n">
        <v>0</v>
      </c>
      <c r="L37" s="9" t="n">
        <f aca="false">K37-J37</f>
        <v>0</v>
      </c>
      <c r="M37" s="11" t="n">
        <f aca="false">$B$8*L37*C37</f>
        <v>0</v>
      </c>
      <c r="N37" s="11" t="n">
        <f aca="false">$B$8*L37*D37</f>
        <v>0</v>
      </c>
      <c r="O37" s="11" t="n">
        <f aca="false">$B$8*L37*E37</f>
        <v>0</v>
      </c>
    </row>
    <row r="38" customFormat="false" ht="15" hidden="false" customHeight="false" outlineLevel="0" collapsed="false">
      <c r="A38" s="9" t="n">
        <f aca="false">INT((ROW()-11)/4)+1</f>
        <v>7</v>
      </c>
      <c r="B38" s="9" t="n">
        <f aca="false">MOD(ROW()-11,4)+1</f>
        <v>4</v>
      </c>
      <c r="C38" s="10" t="n">
        <v>1</v>
      </c>
      <c r="D38" s="10" t="n">
        <v>1</v>
      </c>
      <c r="E38" s="9" t="n">
        <v>1</v>
      </c>
      <c r="F38" s="11" t="n">
        <f aca="false">F37+M37</f>
        <v>0.2</v>
      </c>
      <c r="G38" s="11" t="n">
        <f aca="false">G37+N37</f>
        <v>0.1</v>
      </c>
      <c r="H38" s="11" t="n">
        <f aca="false">H37+O37</f>
        <v>-0.3</v>
      </c>
      <c r="I38" s="11" t="n">
        <f aca="false">C38*F38+D38*G38+E38*H38</f>
        <v>0</v>
      </c>
      <c r="J38" s="9" t="n">
        <f aca="false">IF(I38&gt;=0,1,0)</f>
        <v>1</v>
      </c>
      <c r="K38" s="10" t="n">
        <v>1</v>
      </c>
      <c r="L38" s="9" t="n">
        <f aca="false">K38-J38</f>
        <v>0</v>
      </c>
      <c r="M38" s="11" t="n">
        <f aca="false">$B$8*L38*C38</f>
        <v>0</v>
      </c>
      <c r="N38" s="11" t="n">
        <f aca="false">$B$8*L38*D38</f>
        <v>0</v>
      </c>
      <c r="O38" s="11" t="n">
        <f aca="false">$B$8*L38*E38</f>
        <v>0</v>
      </c>
    </row>
    <row r="39" customFormat="false" ht="15" hidden="false" customHeight="false" outlineLevel="0" collapsed="false">
      <c r="A39" s="12" t="n">
        <f aca="false">INT((ROW()-11)/4)+1</f>
        <v>8</v>
      </c>
      <c r="B39" s="12" t="n">
        <f aca="false">MOD(ROW()-11,4)+1</f>
        <v>1</v>
      </c>
      <c r="C39" s="13" t="n">
        <v>0</v>
      </c>
      <c r="D39" s="13" t="n">
        <v>0</v>
      </c>
      <c r="E39" s="12" t="n">
        <v>1</v>
      </c>
      <c r="F39" s="14" t="n">
        <f aca="false">F38+M38</f>
        <v>0.2</v>
      </c>
      <c r="G39" s="14" t="n">
        <f aca="false">G38+N38</f>
        <v>0.1</v>
      </c>
      <c r="H39" s="14" t="n">
        <f aca="false">H38+O38</f>
        <v>-0.3</v>
      </c>
      <c r="I39" s="14" t="n">
        <f aca="false">C39*F39+D39*G39+E39*H39</f>
        <v>-0.3</v>
      </c>
      <c r="J39" s="12" t="n">
        <f aca="false">IF(I39&gt;=0,1,0)</f>
        <v>0</v>
      </c>
      <c r="K39" s="13" t="n">
        <v>0</v>
      </c>
      <c r="L39" s="12" t="n">
        <f aca="false">K39-J39</f>
        <v>0</v>
      </c>
      <c r="M39" s="14" t="n">
        <f aca="false">$B$8*L39*C39</f>
        <v>0</v>
      </c>
      <c r="N39" s="14" t="n">
        <f aca="false">$B$8*L39*D39</f>
        <v>0</v>
      </c>
      <c r="O39" s="14" t="n">
        <f aca="false">$B$8*L39*E39</f>
        <v>0</v>
      </c>
    </row>
    <row r="40" customFormat="false" ht="15" hidden="false" customHeight="false" outlineLevel="0" collapsed="false">
      <c r="A40" s="12" t="n">
        <f aca="false">INT((ROW()-11)/4)+1</f>
        <v>8</v>
      </c>
      <c r="B40" s="12" t="n">
        <f aca="false">MOD(ROW()-11,4)+1</f>
        <v>2</v>
      </c>
      <c r="C40" s="13" t="n">
        <v>0</v>
      </c>
      <c r="D40" s="13" t="n">
        <v>1</v>
      </c>
      <c r="E40" s="12" t="n">
        <v>1</v>
      </c>
      <c r="F40" s="14" t="n">
        <f aca="false">F39+M39</f>
        <v>0.2</v>
      </c>
      <c r="G40" s="14" t="n">
        <f aca="false">G39+N39</f>
        <v>0.1</v>
      </c>
      <c r="H40" s="14" t="n">
        <f aca="false">H39+O39</f>
        <v>-0.3</v>
      </c>
      <c r="I40" s="14" t="n">
        <f aca="false">C40*F40+D40*G40+E40*H40</f>
        <v>-0.2</v>
      </c>
      <c r="J40" s="12" t="n">
        <f aca="false">IF(I40&gt;=0,1,0)</f>
        <v>0</v>
      </c>
      <c r="K40" s="13" t="n">
        <v>0</v>
      </c>
      <c r="L40" s="12" t="n">
        <f aca="false">K40-J40</f>
        <v>0</v>
      </c>
      <c r="M40" s="14" t="n">
        <f aca="false">$B$8*L40*C40</f>
        <v>0</v>
      </c>
      <c r="N40" s="14" t="n">
        <f aca="false">$B$8*L40*D40</f>
        <v>0</v>
      </c>
      <c r="O40" s="14" t="n">
        <f aca="false">$B$8*L40*E40</f>
        <v>0</v>
      </c>
    </row>
    <row r="41" customFormat="false" ht="15" hidden="false" customHeight="false" outlineLevel="0" collapsed="false">
      <c r="A41" s="12" t="n">
        <f aca="false">INT((ROW()-11)/4)+1</f>
        <v>8</v>
      </c>
      <c r="B41" s="12" t="n">
        <f aca="false">MOD(ROW()-11,4)+1</f>
        <v>3</v>
      </c>
      <c r="C41" s="13" t="n">
        <v>1</v>
      </c>
      <c r="D41" s="13" t="n">
        <v>0</v>
      </c>
      <c r="E41" s="12" t="n">
        <v>1</v>
      </c>
      <c r="F41" s="14" t="n">
        <f aca="false">F40+M40</f>
        <v>0.2</v>
      </c>
      <c r="G41" s="14" t="n">
        <f aca="false">G40+N40</f>
        <v>0.1</v>
      </c>
      <c r="H41" s="14" t="n">
        <f aca="false">H40+O40</f>
        <v>-0.3</v>
      </c>
      <c r="I41" s="14" t="n">
        <f aca="false">C41*F41+D41*G41+E41*H41</f>
        <v>-0.1</v>
      </c>
      <c r="J41" s="12" t="n">
        <f aca="false">IF(I41&gt;=0,1,0)</f>
        <v>0</v>
      </c>
      <c r="K41" s="13" t="n">
        <v>0</v>
      </c>
      <c r="L41" s="12" t="n">
        <f aca="false">K41-J41</f>
        <v>0</v>
      </c>
      <c r="M41" s="14" t="n">
        <f aca="false">$B$8*L41*C41</f>
        <v>0</v>
      </c>
      <c r="N41" s="14" t="n">
        <f aca="false">$B$8*L41*D41</f>
        <v>0</v>
      </c>
      <c r="O41" s="14" t="n">
        <f aca="false">$B$8*L41*E41</f>
        <v>0</v>
      </c>
    </row>
    <row r="42" customFormat="false" ht="15" hidden="false" customHeight="false" outlineLevel="0" collapsed="false">
      <c r="A42" s="12" t="n">
        <f aca="false">INT((ROW()-11)/4)+1</f>
        <v>8</v>
      </c>
      <c r="B42" s="12" t="n">
        <f aca="false">MOD(ROW()-11,4)+1</f>
        <v>4</v>
      </c>
      <c r="C42" s="13" t="n">
        <v>1</v>
      </c>
      <c r="D42" s="13" t="n">
        <v>1</v>
      </c>
      <c r="E42" s="12" t="n">
        <v>1</v>
      </c>
      <c r="F42" s="14" t="n">
        <f aca="false">F41+M41</f>
        <v>0.2</v>
      </c>
      <c r="G42" s="14" t="n">
        <f aca="false">G41+N41</f>
        <v>0.1</v>
      </c>
      <c r="H42" s="14" t="n">
        <f aca="false">H41+O41</f>
        <v>-0.3</v>
      </c>
      <c r="I42" s="14" t="n">
        <f aca="false">C42*F42+D42*G42+E42*H42</f>
        <v>0</v>
      </c>
      <c r="J42" s="12" t="n">
        <f aca="false">IF(I42&gt;=0,1,0)</f>
        <v>1</v>
      </c>
      <c r="K42" s="13" t="n">
        <v>1</v>
      </c>
      <c r="L42" s="12" t="n">
        <f aca="false">K42-J42</f>
        <v>0</v>
      </c>
      <c r="M42" s="14" t="n">
        <f aca="false">$B$8*L42*C42</f>
        <v>0</v>
      </c>
      <c r="N42" s="14" t="n">
        <f aca="false">$B$8*L42*D42</f>
        <v>0</v>
      </c>
      <c r="O42" s="14" t="n">
        <f aca="false">$B$8*L42*E42</f>
        <v>0</v>
      </c>
    </row>
    <row r="43" customFormat="false" ht="15" hidden="false" customHeight="false" outlineLevel="0" collapsed="false">
      <c r="A43" s="9" t="n">
        <f aca="false">INT((ROW()-11)/4)+1</f>
        <v>9</v>
      </c>
      <c r="B43" s="9" t="n">
        <f aca="false">MOD(ROW()-11,4)+1</f>
        <v>1</v>
      </c>
      <c r="C43" s="10" t="n">
        <v>0</v>
      </c>
      <c r="D43" s="10" t="n">
        <v>0</v>
      </c>
      <c r="E43" s="9" t="n">
        <v>1</v>
      </c>
      <c r="F43" s="11" t="n">
        <f aca="false">F42+M42</f>
        <v>0.2</v>
      </c>
      <c r="G43" s="11" t="n">
        <f aca="false">G42+N42</f>
        <v>0.1</v>
      </c>
      <c r="H43" s="11" t="n">
        <f aca="false">H42+O42</f>
        <v>-0.3</v>
      </c>
      <c r="I43" s="11" t="n">
        <f aca="false">C43*F43+D43*G43+E43*H43</f>
        <v>-0.3</v>
      </c>
      <c r="J43" s="9" t="n">
        <f aca="false">IF(I43&gt;=0,1,0)</f>
        <v>0</v>
      </c>
      <c r="K43" s="10" t="n">
        <v>0</v>
      </c>
      <c r="L43" s="9" t="n">
        <f aca="false">K43-J43</f>
        <v>0</v>
      </c>
      <c r="M43" s="11" t="n">
        <f aca="false">$B$8*L43*C43</f>
        <v>0</v>
      </c>
      <c r="N43" s="11" t="n">
        <f aca="false">$B$8*L43*D43</f>
        <v>0</v>
      </c>
      <c r="O43" s="11" t="n">
        <f aca="false">$B$8*L43*E43</f>
        <v>0</v>
      </c>
    </row>
    <row r="44" customFormat="false" ht="15" hidden="false" customHeight="false" outlineLevel="0" collapsed="false">
      <c r="A44" s="9" t="n">
        <f aca="false">INT((ROW()-11)/4)+1</f>
        <v>9</v>
      </c>
      <c r="B44" s="9" t="n">
        <f aca="false">MOD(ROW()-11,4)+1</f>
        <v>2</v>
      </c>
      <c r="C44" s="10" t="n">
        <v>0</v>
      </c>
      <c r="D44" s="10" t="n">
        <v>1</v>
      </c>
      <c r="E44" s="9" t="n">
        <v>1</v>
      </c>
      <c r="F44" s="11" t="n">
        <f aca="false">F43+M43</f>
        <v>0.2</v>
      </c>
      <c r="G44" s="11" t="n">
        <f aca="false">G43+N43</f>
        <v>0.1</v>
      </c>
      <c r="H44" s="11" t="n">
        <f aca="false">H43+O43</f>
        <v>-0.3</v>
      </c>
      <c r="I44" s="11" t="n">
        <f aca="false">C44*F44+D44*G44+E44*H44</f>
        <v>-0.2</v>
      </c>
      <c r="J44" s="9" t="n">
        <f aca="false">IF(I44&gt;=0,1,0)</f>
        <v>0</v>
      </c>
      <c r="K44" s="10" t="n">
        <v>0</v>
      </c>
      <c r="L44" s="9" t="n">
        <f aca="false">K44-J44</f>
        <v>0</v>
      </c>
      <c r="M44" s="11" t="n">
        <f aca="false">$B$8*L44*C44</f>
        <v>0</v>
      </c>
      <c r="N44" s="11" t="n">
        <f aca="false">$B$8*L44*D44</f>
        <v>0</v>
      </c>
      <c r="O44" s="11" t="n">
        <f aca="false">$B$8*L44*E44</f>
        <v>0</v>
      </c>
    </row>
    <row r="45" customFormat="false" ht="15" hidden="false" customHeight="false" outlineLevel="0" collapsed="false">
      <c r="A45" s="9" t="n">
        <f aca="false">INT((ROW()-11)/4)+1</f>
        <v>9</v>
      </c>
      <c r="B45" s="9" t="n">
        <f aca="false">MOD(ROW()-11,4)+1</f>
        <v>3</v>
      </c>
      <c r="C45" s="10" t="n">
        <v>1</v>
      </c>
      <c r="D45" s="10" t="n">
        <v>0</v>
      </c>
      <c r="E45" s="9" t="n">
        <v>1</v>
      </c>
      <c r="F45" s="11" t="n">
        <f aca="false">F44+M44</f>
        <v>0.2</v>
      </c>
      <c r="G45" s="11" t="n">
        <f aca="false">G44+N44</f>
        <v>0.1</v>
      </c>
      <c r="H45" s="11" t="n">
        <f aca="false">H44+O44</f>
        <v>-0.3</v>
      </c>
      <c r="I45" s="11" t="n">
        <f aca="false">C45*F45+D45*G45+E45*H45</f>
        <v>-0.1</v>
      </c>
      <c r="J45" s="9" t="n">
        <f aca="false">IF(I45&gt;=0,1,0)</f>
        <v>0</v>
      </c>
      <c r="K45" s="10" t="n">
        <v>0</v>
      </c>
      <c r="L45" s="9" t="n">
        <f aca="false">K45-J45</f>
        <v>0</v>
      </c>
      <c r="M45" s="11" t="n">
        <f aca="false">$B$8*L45*C45</f>
        <v>0</v>
      </c>
      <c r="N45" s="11" t="n">
        <f aca="false">$B$8*L45*D45</f>
        <v>0</v>
      </c>
      <c r="O45" s="11" t="n">
        <f aca="false">$B$8*L45*E45</f>
        <v>0</v>
      </c>
    </row>
    <row r="46" customFormat="false" ht="15" hidden="false" customHeight="false" outlineLevel="0" collapsed="false">
      <c r="A46" s="9" t="n">
        <f aca="false">INT((ROW()-11)/4)+1</f>
        <v>9</v>
      </c>
      <c r="B46" s="9" t="n">
        <f aca="false">MOD(ROW()-11,4)+1</f>
        <v>4</v>
      </c>
      <c r="C46" s="10" t="n">
        <v>1</v>
      </c>
      <c r="D46" s="10" t="n">
        <v>1</v>
      </c>
      <c r="E46" s="9" t="n">
        <v>1</v>
      </c>
      <c r="F46" s="11" t="n">
        <f aca="false">F45+M45</f>
        <v>0.2</v>
      </c>
      <c r="G46" s="11" t="n">
        <f aca="false">G45+N45</f>
        <v>0.1</v>
      </c>
      <c r="H46" s="11" t="n">
        <f aca="false">H45+O45</f>
        <v>-0.3</v>
      </c>
      <c r="I46" s="11" t="n">
        <f aca="false">C46*F46+D46*G46+E46*H46</f>
        <v>0</v>
      </c>
      <c r="J46" s="9" t="n">
        <f aca="false">IF(I46&gt;=0,1,0)</f>
        <v>1</v>
      </c>
      <c r="K46" s="10" t="n">
        <v>1</v>
      </c>
      <c r="L46" s="9" t="n">
        <f aca="false">K46-J46</f>
        <v>0</v>
      </c>
      <c r="M46" s="11" t="n">
        <f aca="false">$B$8*L46*C46</f>
        <v>0</v>
      </c>
      <c r="N46" s="11" t="n">
        <f aca="false">$B$8*L46*D46</f>
        <v>0</v>
      </c>
      <c r="O46" s="11" t="n">
        <f aca="false">$B$8*L46*E46</f>
        <v>0</v>
      </c>
    </row>
    <row r="47" customFormat="false" ht="15" hidden="false" customHeight="false" outlineLevel="0" collapsed="false">
      <c r="A47" s="12" t="n">
        <f aca="false">INT((ROW()-11)/4)+1</f>
        <v>10</v>
      </c>
      <c r="B47" s="12" t="n">
        <f aca="false">MOD(ROW()-11,4)+1</f>
        <v>1</v>
      </c>
      <c r="C47" s="13" t="n">
        <v>0</v>
      </c>
      <c r="D47" s="13" t="n">
        <v>0</v>
      </c>
      <c r="E47" s="12" t="n">
        <v>1</v>
      </c>
      <c r="F47" s="14" t="n">
        <f aca="false">F46+M46</f>
        <v>0.2</v>
      </c>
      <c r="G47" s="14" t="n">
        <f aca="false">G46+N46</f>
        <v>0.1</v>
      </c>
      <c r="H47" s="14" t="n">
        <f aca="false">H46+O46</f>
        <v>-0.3</v>
      </c>
      <c r="I47" s="14" t="n">
        <f aca="false">C47*F47+D47*G47+E47*H47</f>
        <v>-0.3</v>
      </c>
      <c r="J47" s="12" t="n">
        <f aca="false">IF(I47&gt;=0,1,0)</f>
        <v>0</v>
      </c>
      <c r="K47" s="13" t="n">
        <v>0</v>
      </c>
      <c r="L47" s="12" t="n">
        <f aca="false">K47-J47</f>
        <v>0</v>
      </c>
      <c r="M47" s="14" t="n">
        <f aca="false">$B$8*L47*C47</f>
        <v>0</v>
      </c>
      <c r="N47" s="14" t="n">
        <f aca="false">$B$8*L47*D47</f>
        <v>0</v>
      </c>
      <c r="O47" s="14" t="n">
        <f aca="false">$B$8*L47*E47</f>
        <v>0</v>
      </c>
    </row>
    <row r="48" customFormat="false" ht="15" hidden="false" customHeight="false" outlineLevel="0" collapsed="false">
      <c r="A48" s="12" t="n">
        <f aca="false">INT((ROW()-11)/4)+1</f>
        <v>10</v>
      </c>
      <c r="B48" s="12" t="n">
        <f aca="false">MOD(ROW()-11,4)+1</f>
        <v>2</v>
      </c>
      <c r="C48" s="13" t="n">
        <v>0</v>
      </c>
      <c r="D48" s="13" t="n">
        <v>1</v>
      </c>
      <c r="E48" s="12" t="n">
        <v>1</v>
      </c>
      <c r="F48" s="14" t="n">
        <f aca="false">F47+M47</f>
        <v>0.2</v>
      </c>
      <c r="G48" s="14" t="n">
        <f aca="false">G47+N47</f>
        <v>0.1</v>
      </c>
      <c r="H48" s="14" t="n">
        <f aca="false">H47+O47</f>
        <v>-0.3</v>
      </c>
      <c r="I48" s="14" t="n">
        <f aca="false">C48*F48+D48*G48+E48*H48</f>
        <v>-0.2</v>
      </c>
      <c r="J48" s="12" t="n">
        <f aca="false">IF(I48&gt;=0,1,0)</f>
        <v>0</v>
      </c>
      <c r="K48" s="13" t="n">
        <v>0</v>
      </c>
      <c r="L48" s="12" t="n">
        <f aca="false">K48-J48</f>
        <v>0</v>
      </c>
      <c r="M48" s="14" t="n">
        <f aca="false">$B$8*L48*C48</f>
        <v>0</v>
      </c>
      <c r="N48" s="14" t="n">
        <f aca="false">$B$8*L48*D48</f>
        <v>0</v>
      </c>
      <c r="O48" s="14" t="n">
        <f aca="false">$B$8*L48*E48</f>
        <v>0</v>
      </c>
    </row>
    <row r="49" customFormat="false" ht="15" hidden="false" customHeight="false" outlineLevel="0" collapsed="false">
      <c r="A49" s="12" t="n">
        <f aca="false">INT((ROW()-11)/4)+1</f>
        <v>10</v>
      </c>
      <c r="B49" s="12" t="n">
        <f aca="false">MOD(ROW()-11,4)+1</f>
        <v>3</v>
      </c>
      <c r="C49" s="13" t="n">
        <v>1</v>
      </c>
      <c r="D49" s="13" t="n">
        <v>0</v>
      </c>
      <c r="E49" s="12" t="n">
        <v>1</v>
      </c>
      <c r="F49" s="14" t="n">
        <f aca="false">F48+M48</f>
        <v>0.2</v>
      </c>
      <c r="G49" s="14" t="n">
        <f aca="false">G48+N48</f>
        <v>0.1</v>
      </c>
      <c r="H49" s="14" t="n">
        <f aca="false">H48+O48</f>
        <v>-0.3</v>
      </c>
      <c r="I49" s="14" t="n">
        <f aca="false">C49*F49+D49*G49+E49*H49</f>
        <v>-0.1</v>
      </c>
      <c r="J49" s="12" t="n">
        <f aca="false">IF(I49&gt;=0,1,0)</f>
        <v>0</v>
      </c>
      <c r="K49" s="13" t="n">
        <v>0</v>
      </c>
      <c r="L49" s="12" t="n">
        <f aca="false">K49-J49</f>
        <v>0</v>
      </c>
      <c r="M49" s="14" t="n">
        <f aca="false">$B$8*L49*C49</f>
        <v>0</v>
      </c>
      <c r="N49" s="14" t="n">
        <f aca="false">$B$8*L49*D49</f>
        <v>0</v>
      </c>
      <c r="O49" s="14" t="n">
        <f aca="false">$B$8*L49*E49</f>
        <v>0</v>
      </c>
    </row>
    <row r="50" customFormat="false" ht="15" hidden="false" customHeight="false" outlineLevel="0" collapsed="false">
      <c r="A50" s="12" t="n">
        <f aca="false">INT((ROW()-11)/4)+1</f>
        <v>10</v>
      </c>
      <c r="B50" s="12" t="n">
        <f aca="false">MOD(ROW()-11,4)+1</f>
        <v>4</v>
      </c>
      <c r="C50" s="13" t="n">
        <v>1</v>
      </c>
      <c r="D50" s="13" t="n">
        <v>1</v>
      </c>
      <c r="E50" s="12" t="n">
        <v>1</v>
      </c>
      <c r="F50" s="14" t="n">
        <f aca="false">F49+M49</f>
        <v>0.2</v>
      </c>
      <c r="G50" s="14" t="n">
        <f aca="false">G49+N49</f>
        <v>0.1</v>
      </c>
      <c r="H50" s="14" t="n">
        <f aca="false">H49+O49</f>
        <v>-0.3</v>
      </c>
      <c r="I50" s="14" t="n">
        <f aca="false">C50*F50+D50*G50+E50*H50</f>
        <v>0</v>
      </c>
      <c r="J50" s="12" t="n">
        <f aca="false">IF(I50&gt;=0,1,0)</f>
        <v>1</v>
      </c>
      <c r="K50" s="13" t="n">
        <v>1</v>
      </c>
      <c r="L50" s="12" t="n">
        <f aca="false">K50-J50</f>
        <v>0</v>
      </c>
      <c r="M50" s="14" t="n">
        <f aca="false">$B$8*L50*C50</f>
        <v>0</v>
      </c>
      <c r="N50" s="14" t="n">
        <f aca="false">$B$8*L50*D50</f>
        <v>0</v>
      </c>
      <c r="O50" s="14" t="n">
        <f aca="false">$B$8*L50*E50</f>
        <v>0</v>
      </c>
    </row>
    <row r="52" customFormat="false" ht="15" hidden="false" customHeight="false" outlineLevel="0" collapsed="false">
      <c r="A52" s="15" t="s">
        <v>25</v>
      </c>
      <c r="B52" s="15"/>
      <c r="C52" s="3" t="s">
        <v>26</v>
      </c>
      <c r="D52" s="16" t="n">
        <f aca="false">F50+M50</f>
        <v>0.2</v>
      </c>
      <c r="E52" s="3" t="s">
        <v>27</v>
      </c>
      <c r="F52" s="16" t="n">
        <f aca="false">G50+N50</f>
        <v>0.1</v>
      </c>
      <c r="G52" s="3" t="s">
        <v>28</v>
      </c>
      <c r="H52" s="16" t="n">
        <f aca="false">H50+O50</f>
        <v>-0.3</v>
      </c>
    </row>
    <row r="53" customFormat="false" ht="15" hidden="false" customHeight="false" outlineLevel="0" collapsed="false">
      <c r="A53" s="3" t="s">
        <v>29</v>
      </c>
    </row>
    <row r="54" customFormat="false" ht="15" hidden="false" customHeight="false" outlineLevel="0" collapsed="false">
      <c r="A54" s="8" t="s">
        <v>12</v>
      </c>
      <c r="B54" s="8" t="s">
        <v>13</v>
      </c>
      <c r="C54" s="8" t="s">
        <v>14</v>
      </c>
      <c r="D54" s="8" t="s">
        <v>30</v>
      </c>
      <c r="E54" s="8" t="s">
        <v>19</v>
      </c>
      <c r="F54" s="8" t="s">
        <v>31</v>
      </c>
      <c r="G54" s="8" t="s">
        <v>32</v>
      </c>
    </row>
    <row r="55" customFormat="false" ht="15" hidden="false" customHeight="false" outlineLevel="0" collapsed="false">
      <c r="A55" s="10" t="n">
        <v>0</v>
      </c>
      <c r="B55" s="10" t="n">
        <v>0</v>
      </c>
      <c r="C55" s="9" t="n">
        <v>1</v>
      </c>
      <c r="D55" s="11" t="n">
        <f aca="false">A55*$D$52+B55*$F$52+C55*$H$52</f>
        <v>-0.3</v>
      </c>
      <c r="E55" s="9" t="n">
        <f aca="false">IF(D55&gt;=0,1,0)</f>
        <v>0</v>
      </c>
      <c r="F55" s="10" t="n">
        <v>0</v>
      </c>
      <c r="G55" s="9" t="str">
        <f aca="false">IF(E55=F55,"Sí","No")</f>
        <v>Sí</v>
      </c>
    </row>
    <row r="56" customFormat="false" ht="15" hidden="false" customHeight="false" outlineLevel="0" collapsed="false">
      <c r="A56" s="10" t="n">
        <v>0</v>
      </c>
      <c r="B56" s="10" t="n">
        <v>1</v>
      </c>
      <c r="C56" s="9" t="n">
        <v>1</v>
      </c>
      <c r="D56" s="11" t="n">
        <f aca="false">A56*$D$52+B56*$F$52+C56*$H$52</f>
        <v>-0.2</v>
      </c>
      <c r="E56" s="9" t="n">
        <f aca="false">IF(D56&gt;=0,1,0)</f>
        <v>0</v>
      </c>
      <c r="F56" s="10" t="n">
        <v>0</v>
      </c>
      <c r="G56" s="9" t="str">
        <f aca="false">IF(E56=F56,"Sí","No")</f>
        <v>Sí</v>
      </c>
    </row>
    <row r="57" customFormat="false" ht="15" hidden="false" customHeight="false" outlineLevel="0" collapsed="false">
      <c r="A57" s="10" t="n">
        <v>1</v>
      </c>
      <c r="B57" s="10" t="n">
        <v>0</v>
      </c>
      <c r="C57" s="9" t="n">
        <v>1</v>
      </c>
      <c r="D57" s="11" t="n">
        <f aca="false">A57*$D$52+B57*$F$52+C57*$H$52</f>
        <v>-0.1</v>
      </c>
      <c r="E57" s="9" t="n">
        <f aca="false">IF(D57&gt;=0,1,0)</f>
        <v>0</v>
      </c>
      <c r="F57" s="10" t="n">
        <v>0</v>
      </c>
      <c r="G57" s="9" t="str">
        <f aca="false">IF(E57=F57,"Sí","No")</f>
        <v>Sí</v>
      </c>
    </row>
    <row r="58" customFormat="false" ht="15" hidden="false" customHeight="false" outlineLevel="0" collapsed="false">
      <c r="A58" s="10" t="n">
        <v>1</v>
      </c>
      <c r="B58" s="10" t="n">
        <v>1</v>
      </c>
      <c r="C58" s="9" t="n">
        <v>1</v>
      </c>
      <c r="D58" s="11" t="n">
        <f aca="false">A58*$D$52+B58*$F$52+C58*$H$52</f>
        <v>0</v>
      </c>
      <c r="E58" s="9" t="n">
        <f aca="false">IF(D58&gt;=0,1,0)</f>
        <v>1</v>
      </c>
      <c r="F58" s="10" t="n">
        <v>1</v>
      </c>
      <c r="G58" s="9" t="str">
        <f aca="false">IF(E58=F58,"Sí","No")</f>
        <v>Sí</v>
      </c>
    </row>
    <row r="60" customFormat="false" ht="15" hidden="false" customHeight="false" outlineLevel="0" collapsed="false">
      <c r="A60" s="3" t="s">
        <v>33</v>
      </c>
    </row>
    <row r="61" customFormat="false" ht="15" hidden="false" customHeight="false" outlineLevel="0" collapsed="false">
      <c r="A61" s="17" t="s">
        <v>34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customFormat="false" ht="15" hidden="false" customHeight="false" outlineLevel="0" collapsed="false">
      <c r="A62" s="17" t="s">
        <v>35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customFormat="false" ht="15" hidden="false" customHeight="false" outlineLevel="0" collapsed="false">
      <c r="A63" s="17" t="s">
        <v>36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</sheetData>
  <mergeCells count="6">
    <mergeCell ref="A1:O1"/>
    <mergeCell ref="A2:O2"/>
    <mergeCell ref="A52:B52"/>
    <mergeCell ref="A61:O61"/>
    <mergeCell ref="A62:O62"/>
    <mergeCell ref="A63:O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2026-09-24T13:40:25Z</dcterms:created>
  <dc:creator>openpyxl</dc:creator>
  <dc:description/>
  <dc:language>en-US</dc:language>
  <cp:lastModifiedBy/>
  <dcterms:modified xsi:type="dcterms:W3CDTF">2026-09-24T13:40:25Z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